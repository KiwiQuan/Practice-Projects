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133\Desktop\coursework\Data Analytics\Unit 1\lesson 7\Practice Project\"/>
    </mc:Choice>
  </mc:AlternateContent>
  <xr:revisionPtr revIDLastSave="0" documentId="13_ncr:1_{54F3AFAB-DB36-414C-816A-4A408B390DDE}" xr6:coauthVersionLast="47" xr6:coauthVersionMax="47" xr10:uidLastSave="{00000000-0000-0000-0000-000000000000}"/>
  <bookViews>
    <workbookView xWindow="-98" yWindow="-98" windowWidth="21795" windowHeight="11625" activeTab="2" xr2:uid="{2EA23C3E-62E2-4303-BEA3-02CDBF868691}"/>
  </bookViews>
  <sheets>
    <sheet name="sales_dataset" sheetId="1" r:id="rId1"/>
    <sheet name="Moving Average" sheetId="2" r:id="rId2"/>
    <sheet name="Covariance" sheetId="3" r:id="rId3"/>
    <sheet name="Corre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I3" i="3"/>
  <c r="H2" i="3"/>
  <c r="L4" i="2" l="1"/>
  <c r="L5" i="2"/>
  <c r="L6" i="2"/>
  <c r="L7" i="2"/>
  <c r="L8" i="2"/>
  <c r="L9" i="2"/>
  <c r="L10" i="2"/>
  <c r="L11" i="2"/>
  <c r="L12" i="2"/>
  <c r="L13" i="2"/>
  <c r="I4" i="2"/>
  <c r="I5" i="2"/>
  <c r="I6" i="2"/>
  <c r="I7" i="2"/>
  <c r="I8" i="2"/>
  <c r="I9" i="2"/>
  <c r="I10" i="2"/>
  <c r="I11" i="2"/>
  <c r="I12" i="2"/>
  <c r="I13" i="2"/>
  <c r="F4" i="2"/>
  <c r="F5" i="2"/>
  <c r="F6" i="2"/>
  <c r="F7" i="2"/>
  <c r="F8" i="2"/>
  <c r="F9" i="2"/>
  <c r="F10" i="2"/>
  <c r="F11" i="2"/>
  <c r="F12" i="2"/>
  <c r="F13" i="2"/>
</calcChain>
</file>

<file path=xl/sharedStrings.xml><?xml version="1.0" encoding="utf-8"?>
<sst xmlns="http://schemas.openxmlformats.org/spreadsheetml/2006/main" count="63" uniqueCount="19">
  <si>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</si>
  <si>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</si>
  <si>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</si>
  <si>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</si>
  <si>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</si>
  <si>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</si>
  <si>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</si>
  <si>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</si>
  <si>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</si>
  <si>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Product A Moving Average</t>
  </si>
  <si>
    <t>Product B Moving Average</t>
  </si>
  <si>
    <t>Product C Moving Average</t>
  </si>
  <si>
    <t>Assessment</t>
  </si>
  <si>
    <t>Overall between all products there is no correlation but Product A and Product B has the most correlation and Product B and Product C has the least amount of correlation</t>
  </si>
  <si>
    <t>Asessment</t>
  </si>
  <si>
    <t>Product A and B have a Negative Covariance</t>
  </si>
  <si>
    <t>Product A and C have a negative Covariance</t>
  </si>
  <si>
    <t>Product B and C also have a negative covariance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</si>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</sst>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8" fillId="0" borderId="0" xfId="0" applyFont="1" applyFill="1" applyBorder="1" applyAlignment="1">
      <alignment horizontal="center"/>
    </xf>
    <xf numFmtId="164" fontId="0" fillId="0" borderId="0" xfId="1" applyNumberFormat="1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A 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Average'!$B$2:$B$13</c:f>
              <c:numCache>
                <c:formatCode>_("$"* #,##0_);_("$"* \(#,##0\);_("$"* "-"??_);_(@_)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B-40C9-8D10-0D6BBF563B7C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Average'!$F$2:$F$13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 formatCode="_(&quot;$&quot;* #,##0_);_(&quot;$&quot;* \(#,##0\);_(&quot;$&quot;* &quot;-&quot;??_);_(@_)">
                  <c:v>6012.333333333333</c:v>
                </c:pt>
                <c:pt idx="3" formatCode="_(&quot;$&quot;* #,##0_);_(&quot;$&quot;* \(#,##0\);_(&quot;$&quot;* &quot;-&quot;??_);_(@_)">
                  <c:v>5634</c:v>
                </c:pt>
                <c:pt idx="4" formatCode="_(&quot;$&quot;* #,##0_);_(&quot;$&quot;* \(#,##0\);_(&quot;$&quot;* &quot;-&quot;??_);_(@_)">
                  <c:v>6514</c:v>
                </c:pt>
                <c:pt idx="5" formatCode="_(&quot;$&quot;* #,##0_);_(&quot;$&quot;* \(#,##0\);_(&quot;$&quot;* &quot;-&quot;??_);_(@_)">
                  <c:v>6501.666666666667</c:v>
                </c:pt>
                <c:pt idx="6" formatCode="_(&quot;$&quot;* #,##0_);_(&quot;$&quot;* \(#,##0\);_(&quot;$&quot;* &quot;-&quot;??_);_(@_)">
                  <c:v>6518.333333333333</c:v>
                </c:pt>
                <c:pt idx="7" formatCode="_(&quot;$&quot;* #,##0_);_(&quot;$&quot;* \(#,##0\);_(&quot;$&quot;* &quot;-&quot;??_);_(@_)">
                  <c:v>6471.666666666667</c:v>
                </c:pt>
                <c:pt idx="8" formatCode="_(&quot;$&quot;* #,##0_);_(&quot;$&quot;* \(#,##0\);_(&quot;$&quot;* &quot;-&quot;??_);_(@_)">
                  <c:v>5999.666666666667</c:v>
                </c:pt>
                <c:pt idx="9" formatCode="_(&quot;$&quot;* #,##0_);_(&quot;$&quot;* \(#,##0\);_(&quot;$&quot;* &quot;-&quot;??_);_(@_)">
                  <c:v>7257</c:v>
                </c:pt>
                <c:pt idx="10" formatCode="_(&quot;$&quot;* #,##0_);_(&quot;$&quot;* \(#,##0\);_(&quot;$&quot;* &quot;-&quot;??_);_(@_)">
                  <c:v>7005.333333333333</c:v>
                </c:pt>
                <c:pt idx="11" formatCode="_(&quot;$&quot;* #,##0_);_(&quot;$&quot;* \(#,##0\);_(&quot;$&quot;* &quot;-&quot;??_);_(@_)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5B-40C9-8D10-0D6BBF563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164607"/>
        <c:axId val="1270753647"/>
      </c:lineChart>
      <c:catAx>
        <c:axId val="1333164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270753647"/>
        <c:crosses val="autoZero"/>
        <c:auto val="1"/>
        <c:lblAlgn val="ctr"/>
        <c:lblOffset val="100"/>
        <c:noMultiLvlLbl val="0"/>
      </c:catAx>
      <c:valAx>
        <c:axId val="1270753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331646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B 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Average'!$C$2:$C$13</c:f>
              <c:numCache>
                <c:formatCode>_("$"* #,##0_);_("$"* \(#,##0\);_("$"* "-"??_);_(@_)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C-46C2-B720-B9F387C683CD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Average'!$I$2:$I$13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 formatCode="_(&quot;$&quot;* #,##0_);_(&quot;$&quot;* \(#,##0\);_(&quot;$&quot;* &quot;-&quot;??_);_(@_)">
                  <c:v>8455.6666666666661</c:v>
                </c:pt>
                <c:pt idx="3" formatCode="_(&quot;$&quot;* #,##0_);_(&quot;$&quot;* \(#,##0\);_(&quot;$&quot;* &quot;-&quot;??_);_(@_)">
                  <c:v>8373</c:v>
                </c:pt>
                <c:pt idx="4" formatCode="_(&quot;$&quot;* #,##0_);_(&quot;$&quot;* \(#,##0\);_(&quot;$&quot;* &quot;-&quot;??_);_(@_)">
                  <c:v>6564.333333333333</c:v>
                </c:pt>
                <c:pt idx="5" formatCode="_(&quot;$&quot;* #,##0_);_(&quot;$&quot;* \(#,##0\);_(&quot;$&quot;* &quot;-&quot;??_);_(@_)">
                  <c:v>6131</c:v>
                </c:pt>
                <c:pt idx="6" formatCode="_(&quot;$&quot;* #,##0_);_(&quot;$&quot;* \(#,##0\);_(&quot;$&quot;* &quot;-&quot;??_);_(@_)">
                  <c:v>7048</c:v>
                </c:pt>
                <c:pt idx="7" formatCode="_(&quot;$&quot;* #,##0_);_(&quot;$&quot;* \(#,##0\);_(&quot;$&quot;* &quot;-&quot;??_);_(@_)">
                  <c:v>6503.666666666667</c:v>
                </c:pt>
                <c:pt idx="8" formatCode="_(&quot;$&quot;* #,##0_);_(&quot;$&quot;* \(#,##0\);_(&quot;$&quot;* &quot;-&quot;??_);_(@_)">
                  <c:v>6734.666666666667</c:v>
                </c:pt>
                <c:pt idx="9" formatCode="_(&quot;$&quot;* #,##0_);_(&quot;$&quot;* \(#,##0\);_(&quot;$&quot;* &quot;-&quot;??_);_(@_)">
                  <c:v>5203</c:v>
                </c:pt>
                <c:pt idx="10" formatCode="_(&quot;$&quot;* #,##0_);_(&quot;$&quot;* \(#,##0\);_(&quot;$&quot;* &quot;-&quot;??_);_(@_)">
                  <c:v>6140</c:v>
                </c:pt>
                <c:pt idx="11" formatCode="_(&quot;$&quot;* #,##0_);_(&quot;$&quot;* \(#,##0\);_(&quot;$&quot;* &quot;-&quot;??_);_(@_)">
                  <c:v>4365.333333333333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C-46C2-B720-B9F387C68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166463"/>
        <c:axId val="1270811247"/>
      </c:lineChart>
      <c:catAx>
        <c:axId val="1333166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270811247"/>
        <c:crosses val="autoZero"/>
        <c:auto val="1"/>
        <c:lblAlgn val="ctr"/>
        <c:lblOffset val="100"/>
        <c:noMultiLvlLbl val="0"/>
      </c:catAx>
      <c:valAx>
        <c:axId val="1270811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3316646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C 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'Moving Average'!$D$2:$D$13</c:f>
              <c:numCache>
                <c:formatCode>_("$"* #,##0_);_("$"* \(#,##0\);_("$"* "-"??_);_(@_)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8-4EF4-90E7-6D918FC962D3}"/>
            </c:ext>
          </c:extLst>
        </c:ser>
        <c:ser>
          <c:idx val="1"/>
          <c:order val="1"/>
          <c:tx>
            <c:v>Forecast</c:v>
          </c:tx>
          <c:val>
            <c:numRef>
              <c:f>'Moving Average'!$L$2:$L$13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 formatCode="_(&quot;$&quot;* #,##0_);_(&quot;$&quot;* \(#,##0\);_(&quot;$&quot;* &quot;-&quot;??_);_(@_)">
                  <c:v>5439.666666666667</c:v>
                </c:pt>
                <c:pt idx="3" formatCode="_(&quot;$&quot;* #,##0_);_(&quot;$&quot;* \(#,##0\);_(&quot;$&quot;* &quot;-&quot;??_);_(@_)">
                  <c:v>5639</c:v>
                </c:pt>
                <c:pt idx="4" formatCode="_(&quot;$&quot;* #,##0_);_(&quot;$&quot;* \(#,##0\);_(&quot;$&quot;* &quot;-&quot;??_);_(@_)">
                  <c:v>5385.666666666667</c:v>
                </c:pt>
                <c:pt idx="5" formatCode="_(&quot;$&quot;* #,##0_);_(&quot;$&quot;* \(#,##0\);_(&quot;$&quot;* &quot;-&quot;??_);_(@_)">
                  <c:v>5560</c:v>
                </c:pt>
                <c:pt idx="6" formatCode="_(&quot;$&quot;* #,##0_);_(&quot;$&quot;* \(#,##0\);_(&quot;$&quot;* &quot;-&quot;??_);_(@_)">
                  <c:v>6924.666666666667</c:v>
                </c:pt>
                <c:pt idx="7" formatCode="_(&quot;$&quot;* #,##0_);_(&quot;$&quot;* \(#,##0\);_(&quot;$&quot;* &quot;-&quot;??_);_(@_)">
                  <c:v>6420.666666666667</c:v>
                </c:pt>
                <c:pt idx="8" formatCode="_(&quot;$&quot;* #,##0_);_(&quot;$&quot;* \(#,##0\);_(&quot;$&quot;* &quot;-&quot;??_);_(@_)">
                  <c:v>6226.666666666667</c:v>
                </c:pt>
                <c:pt idx="9" formatCode="_(&quot;$&quot;* #,##0_);_(&quot;$&quot;* \(#,##0\);_(&quot;$&quot;* &quot;-&quot;??_);_(@_)">
                  <c:v>5804</c:v>
                </c:pt>
                <c:pt idx="10" formatCode="_(&quot;$&quot;* #,##0_);_(&quot;$&quot;* \(#,##0\);_(&quot;$&quot;* &quot;-&quot;??_);_(@_)">
                  <c:v>6396.333333333333</c:v>
                </c:pt>
                <c:pt idx="11" formatCode="_(&quot;$&quot;* #,##0_);_(&quot;$&quot;* \(#,##0\);_(&quot;$&quot;* &quot;-&quot;??_);_(@_)">
                  <c:v>7252.333333333333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D8-4EF4-90E7-6D918FC96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198015"/>
        <c:axId val="1270762287"/>
      </c:lineChart>
      <c:catAx>
        <c:axId val="133319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270762287"/>
        <c:crosses val="autoZero"/>
        <c:auto val="1"/>
        <c:lblAlgn val="ctr"/>
        <c:lblOffset val="100"/>
        <c:noMultiLvlLbl val="0"/>
      </c:catAx>
      <c:valAx>
        <c:axId val="1270762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331980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Correlation!$A$1</c:f>
              <c:strCache>
                <c:ptCount val="1"/>
                <c:pt idx="0">
                  <c:v> Product A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Correlation!$A$2:$A$13</c:f>
              <c:numCache>
                <c:formatCode>_("$"* #,##0_);_("$"* \(#,##0\);_("$"* "-"??_);_(@_)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30-435A-9E85-2662A363FF05}"/>
            </c:ext>
          </c:extLst>
        </c:ser>
        <c:ser>
          <c:idx val="1"/>
          <c:order val="1"/>
          <c:tx>
            <c:strRef>
              <c:f>Correlation!$B$1</c:f>
              <c:strCache>
                <c:ptCount val="1"/>
                <c:pt idx="0">
                  <c:v> Product B Sales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Correlation!$B$2:$B$13</c:f>
              <c:numCache>
                <c:formatCode>_("$"* #,##0_);_("$"* \(#,##0\);_("$"* "-"??_);_(@_)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30-435A-9E85-2662A363FF05}"/>
            </c:ext>
          </c:extLst>
        </c:ser>
        <c:ser>
          <c:idx val="2"/>
          <c:order val="2"/>
          <c:tx>
            <c:strRef>
              <c:f>Correlation!$C$1</c:f>
              <c:strCache>
                <c:ptCount val="1"/>
                <c:pt idx="0">
                  <c:v> Product C Sales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Correlation!$C$2:$C$13</c:f>
              <c:numCache>
                <c:formatCode>_("$"* #,##0_);_("$"* \(#,##0\);_("$"* "-"??_);_(@_)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30-435A-9E85-2662A363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140511"/>
        <c:axId val="604957455"/>
      </c:lineChart>
      <c:catAx>
        <c:axId val="612140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57455"/>
        <c:crosses val="autoZero"/>
        <c:auto val="1"/>
        <c:lblAlgn val="ctr"/>
        <c:lblOffset val="100"/>
        <c:noMultiLvlLbl val="0"/>
      </c:catAx>
      <c:valAx>
        <c:axId val="60495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4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13</xdr:row>
      <xdr:rowOff>52387</xdr:rowOff>
    </xdr:from>
    <xdr:to>
      <xdr:col>4</xdr:col>
      <xdr:colOff>380999</xdr:colOff>
      <xdr:row>26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C05B86-44CF-ED2C-0627-39425CA4A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404810</xdr:colOff>
      <xdr:row>13</xdr:row>
      <xdr:rowOff>66675</xdr:rowOff>
    </xdr:from>
    <xdr:to>
      <xdr:col>8</xdr:col>
      <xdr:colOff>552449</xdr:colOff>
      <xdr:row>26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54ED8A-A714-8927-1C13-E2AEF22C6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561975</xdr:colOff>
      <xdr:row>13</xdr:row>
      <xdr:rowOff>71438</xdr:rowOff>
    </xdr:from>
    <xdr:to>
      <xdr:col>12</xdr:col>
      <xdr:colOff>190500</xdr:colOff>
      <xdr:row>26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B61248-6302-F6F7-25F6-6BA55237F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464344</xdr:colOff>
      <xdr:row>4</xdr:row>
      <xdr:rowOff>52387</xdr:rowOff>
    </xdr:from>
    <xdr:to>
      <xdr:col>10</xdr:col>
      <xdr:colOff>502444</xdr:colOff>
      <xdr:row>17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3B2A9-9CE8-FFBC-DD4C-5A8267003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21F7-AAFA-451F-89E6-88FEE19EA7DE}">
  <dimension ref="A1:E13"/>
  <sheetViews>
    <sheetView workbookViewId="0">
      <selection sqref="A1:E13"/>
    </sheetView>
  </sheetViews>
  <sheetFormatPr defaultRowHeight="14.25" x14ac:dyDescent="0.45"/>
  <cols>
    <col min="3" max="3" width="12.796875" style="1" bestFit="1" customWidth="1"/>
    <col min="4" max="4" width="12.86328125" style="1" bestFit="1" customWidth="1"/>
    <col min="5" max="5" width="13" style="1" bestFit="1" customWidth="1"/>
  </cols>
  <sheetData>
    <row r="1" spans="1:5" x14ac:dyDescent="0.4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2019</v>
      </c>
      <c r="B2" t="s">
        <v>5</v>
      </c>
      <c r="C2" s="1">
        <v>5674</v>
      </c>
      <c r="D2" s="1">
        <v>6721</v>
      </c>
      <c r="E2" s="1">
        <v>3947</v>
      </c>
    </row>
    <row r="3" spans="1:5" x14ac:dyDescent="0.45">
      <c r="A3">
        <v>2019</v>
      </c>
      <c r="B3" t="s">
        <v>6</v>
      </c>
      <c r="C3" s="1">
        <v>3598</v>
      </c>
      <c r="D3" s="1">
        <v>9374</v>
      </c>
      <c r="E3" s="1">
        <v>7272</v>
      </c>
    </row>
    <row r="4" spans="1:5" x14ac:dyDescent="0.45">
      <c r="A4">
        <v>2019</v>
      </c>
      <c r="B4" t="s">
        <v>7</v>
      </c>
      <c r="C4" s="1">
        <v>8765</v>
      </c>
      <c r="D4" s="1">
        <v>9272</v>
      </c>
      <c r="E4" s="1">
        <v>5100</v>
      </c>
    </row>
    <row r="5" spans="1:5" x14ac:dyDescent="0.45">
      <c r="A5">
        <v>2019</v>
      </c>
      <c r="B5" t="s">
        <v>8</v>
      </c>
      <c r="C5" s="1">
        <v>4539</v>
      </c>
      <c r="D5" s="1">
        <v>6473</v>
      </c>
      <c r="E5" s="1">
        <v>4545</v>
      </c>
    </row>
    <row r="6" spans="1:5" x14ac:dyDescent="0.45">
      <c r="A6">
        <v>2020</v>
      </c>
      <c r="B6" t="s">
        <v>5</v>
      </c>
      <c r="C6" s="1">
        <v>6238</v>
      </c>
      <c r="D6" s="1">
        <v>3948</v>
      </c>
      <c r="E6" s="1">
        <v>6512</v>
      </c>
    </row>
    <row r="7" spans="1:5" x14ac:dyDescent="0.45">
      <c r="A7">
        <v>2020</v>
      </c>
      <c r="B7" t="s">
        <v>6</v>
      </c>
      <c r="C7" s="1">
        <v>8728</v>
      </c>
      <c r="D7" s="1">
        <v>7972</v>
      </c>
      <c r="E7" s="1">
        <v>5623</v>
      </c>
    </row>
    <row r="8" spans="1:5" x14ac:dyDescent="0.45">
      <c r="A8">
        <v>2020</v>
      </c>
      <c r="B8" t="s">
        <v>7</v>
      </c>
      <c r="C8" s="1">
        <v>4589</v>
      </c>
      <c r="D8" s="1">
        <v>9224</v>
      </c>
      <c r="E8" s="1">
        <v>8639</v>
      </c>
    </row>
    <row r="9" spans="1:5" x14ac:dyDescent="0.45">
      <c r="A9">
        <v>2020</v>
      </c>
      <c r="B9" t="s">
        <v>8</v>
      </c>
      <c r="C9" s="1">
        <v>6098</v>
      </c>
      <c r="D9" s="1">
        <v>2315</v>
      </c>
      <c r="E9" s="1">
        <v>5000</v>
      </c>
    </row>
    <row r="10" spans="1:5" x14ac:dyDescent="0.45">
      <c r="A10">
        <v>2021</v>
      </c>
      <c r="B10" t="s">
        <v>5</v>
      </c>
      <c r="C10" s="1">
        <v>7312</v>
      </c>
      <c r="D10" s="1">
        <v>8665</v>
      </c>
      <c r="E10" s="1">
        <v>5041</v>
      </c>
    </row>
    <row r="11" spans="1:5" x14ac:dyDescent="0.45">
      <c r="A11">
        <v>2021</v>
      </c>
      <c r="B11" t="s">
        <v>6</v>
      </c>
      <c r="C11" s="1">
        <v>8361</v>
      </c>
      <c r="D11" s="1">
        <v>4629</v>
      </c>
      <c r="E11" s="1">
        <v>7371</v>
      </c>
    </row>
    <row r="12" spans="1:5" x14ac:dyDescent="0.45">
      <c r="A12">
        <v>2021</v>
      </c>
      <c r="B12" t="s">
        <v>7</v>
      </c>
      <c r="C12" s="1">
        <v>5343</v>
      </c>
      <c r="D12" s="1">
        <v>5126</v>
      </c>
      <c r="E12" s="1">
        <v>6777</v>
      </c>
    </row>
    <row r="13" spans="1:5" x14ac:dyDescent="0.45">
      <c r="A13">
        <v>2021</v>
      </c>
      <c r="B13" t="s">
        <v>8</v>
      </c>
      <c r="C13" s="1">
        <v>8265</v>
      </c>
      <c r="D13" s="1">
        <v>3341</v>
      </c>
      <c r="E13" s="1">
        <v>7609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0482-2013-4780-8EBF-3B6089FCCC31}">
  <dimension ref="A1:L13"/>
  <sheetViews>
    <sheetView workbookViewId="0">
      <selection activeCell="N12" sqref="N12"/>
    </sheetView>
  </sheetViews>
  <sheetFormatPr defaultRowHeight="14.25" x14ac:dyDescent="0.45"/>
  <cols>
    <col min="1" max="1" width="9.265625" customWidth="1"/>
    <col min="2" max="2" width="12.796875" style="1" bestFit="1" customWidth="1"/>
    <col min="3" max="3" width="12.86328125" style="1" bestFit="1" customWidth="1"/>
    <col min="4" max="4" width="13" style="1" bestFit="1" customWidth="1"/>
    <col min="6" max="6" width="21.86328125" bestFit="1" customWidth="1"/>
    <col min="9" max="9" width="20.6640625" bestFit="1" customWidth="1"/>
    <col min="12" max="12" width="20.796875" bestFit="1" customWidth="1"/>
  </cols>
  <sheetData>
    <row r="1" spans="1:12" x14ac:dyDescent="0.45">
      <c r="A1" t="s">
        <v>0</v>
      </c>
      <c r="B1" s="1" t="s">
        <v>2</v>
      </c>
      <c r="C1" s="1" t="s">
        <v>3</v>
      </c>
      <c r="D1" s="1" t="s">
        <v>4</v>
      </c>
      <c r="F1" s="1" t="s">
        <v>9</v>
      </c>
      <c r="I1" t="s">
        <v>10</v>
      </c>
      <c r="L1" t="s">
        <v>11</v>
      </c>
    </row>
    <row r="2" spans="1:12" x14ac:dyDescent="0.45">
      <c r="A2">
        <v>2019</v>
      </c>
      <c r="B2" s="1">
        <v>5674</v>
      </c>
      <c r="C2" s="1">
        <v>6721</v>
      </c>
      <c r="D2" s="1">
        <v>3947</v>
      </c>
      <c r="F2" t="e">
        <v>#N/A</v>
      </c>
      <c r="I2" t="e">
        <v>#N/A</v>
      </c>
      <c r="L2" t="e">
        <v>#N/A</v>
      </c>
    </row>
    <row r="3" spans="1:12" x14ac:dyDescent="0.45">
      <c r="A3">
        <v>2019</v>
      </c>
      <c r="B3" s="1">
        <v>3598</v>
      </c>
      <c r="C3" s="1">
        <v>9374</v>
      </c>
      <c r="D3" s="1">
        <v>7272</v>
      </c>
      <c r="F3" t="e">
        <v>#N/A</v>
      </c>
      <c r="I3" t="e">
        <v>#N/A</v>
      </c>
      <c r="L3" t="e">
        <v>#N/A</v>
      </c>
    </row>
    <row r="4" spans="1:12" x14ac:dyDescent="0.45">
      <c r="A4">
        <v>2019</v>
      </c>
      <c r="B4" s="1">
        <v>8765</v>
      </c>
      <c r="C4" s="1">
        <v>9272</v>
      </c>
      <c r="D4" s="1">
        <v>5100</v>
      </c>
      <c r="F4" s="2">
        <f t="shared" ref="F4:F13" si="0">AVERAGE(B2:B4)</f>
        <v>6012.333333333333</v>
      </c>
      <c r="I4" s="2">
        <f t="shared" ref="I4:I13" si="1">AVERAGE(C2:C4)</f>
        <v>8455.6666666666661</v>
      </c>
      <c r="L4" s="2">
        <f t="shared" ref="L4:L13" si="2">AVERAGE(D2:D4)</f>
        <v>5439.666666666667</v>
      </c>
    </row>
    <row r="5" spans="1:12" x14ac:dyDescent="0.45">
      <c r="A5">
        <v>2019</v>
      </c>
      <c r="B5" s="1">
        <v>4539</v>
      </c>
      <c r="C5" s="1">
        <v>6473</v>
      </c>
      <c r="D5" s="1">
        <v>4545</v>
      </c>
      <c r="F5" s="2">
        <f t="shared" si="0"/>
        <v>5634</v>
      </c>
      <c r="I5" s="2">
        <f t="shared" si="1"/>
        <v>8373</v>
      </c>
      <c r="L5" s="2">
        <f t="shared" si="2"/>
        <v>5639</v>
      </c>
    </row>
    <row r="6" spans="1:12" x14ac:dyDescent="0.45">
      <c r="A6">
        <v>2020</v>
      </c>
      <c r="B6" s="1">
        <v>6238</v>
      </c>
      <c r="C6" s="1">
        <v>3948</v>
      </c>
      <c r="D6" s="1">
        <v>6512</v>
      </c>
      <c r="F6" s="2">
        <f t="shared" si="0"/>
        <v>6514</v>
      </c>
      <c r="I6" s="2">
        <f t="shared" si="1"/>
        <v>6564.333333333333</v>
      </c>
      <c r="L6" s="2">
        <f t="shared" si="2"/>
        <v>5385.666666666667</v>
      </c>
    </row>
    <row r="7" spans="1:12" x14ac:dyDescent="0.45">
      <c r="A7">
        <v>2020</v>
      </c>
      <c r="B7" s="1">
        <v>8728</v>
      </c>
      <c r="C7" s="1">
        <v>7972</v>
      </c>
      <c r="D7" s="1">
        <v>5623</v>
      </c>
      <c r="F7" s="2">
        <f t="shared" si="0"/>
        <v>6501.666666666667</v>
      </c>
      <c r="I7" s="2">
        <f t="shared" si="1"/>
        <v>6131</v>
      </c>
      <c r="L7" s="2">
        <f t="shared" si="2"/>
        <v>5560</v>
      </c>
    </row>
    <row r="8" spans="1:12" x14ac:dyDescent="0.45">
      <c r="A8">
        <v>2020</v>
      </c>
      <c r="B8" s="1">
        <v>4589</v>
      </c>
      <c r="C8" s="1">
        <v>9224</v>
      </c>
      <c r="D8" s="1">
        <v>8639</v>
      </c>
      <c r="F8" s="2">
        <f t="shared" si="0"/>
        <v>6518.333333333333</v>
      </c>
      <c r="I8" s="2">
        <f t="shared" si="1"/>
        <v>7048</v>
      </c>
      <c r="L8" s="2">
        <f t="shared" si="2"/>
        <v>6924.666666666667</v>
      </c>
    </row>
    <row r="9" spans="1:12" x14ac:dyDescent="0.45">
      <c r="A9">
        <v>2020</v>
      </c>
      <c r="B9" s="1">
        <v>6098</v>
      </c>
      <c r="C9" s="1">
        <v>2315</v>
      </c>
      <c r="D9" s="1">
        <v>5000</v>
      </c>
      <c r="F9" s="2">
        <f t="shared" si="0"/>
        <v>6471.666666666667</v>
      </c>
      <c r="I9" s="2">
        <f t="shared" si="1"/>
        <v>6503.666666666667</v>
      </c>
      <c r="L9" s="2">
        <f t="shared" si="2"/>
        <v>6420.666666666667</v>
      </c>
    </row>
    <row r="10" spans="1:12" x14ac:dyDescent="0.45">
      <c r="A10">
        <v>2021</v>
      </c>
      <c r="B10" s="1">
        <v>7312</v>
      </c>
      <c r="C10" s="1">
        <v>8665</v>
      </c>
      <c r="D10" s="1">
        <v>5041</v>
      </c>
      <c r="F10" s="2">
        <f t="shared" si="0"/>
        <v>5999.666666666667</v>
      </c>
      <c r="I10" s="2">
        <f t="shared" si="1"/>
        <v>6734.666666666667</v>
      </c>
      <c r="L10" s="2">
        <f t="shared" si="2"/>
        <v>6226.666666666667</v>
      </c>
    </row>
    <row r="11" spans="1:12" x14ac:dyDescent="0.45">
      <c r="A11">
        <v>2021</v>
      </c>
      <c r="B11" s="1">
        <v>8361</v>
      </c>
      <c r="C11" s="1">
        <v>4629</v>
      </c>
      <c r="D11" s="1">
        <v>7371</v>
      </c>
      <c r="F11" s="2">
        <f t="shared" si="0"/>
        <v>7257</v>
      </c>
      <c r="I11" s="2">
        <f t="shared" si="1"/>
        <v>5203</v>
      </c>
      <c r="L11" s="2">
        <f t="shared" si="2"/>
        <v>5804</v>
      </c>
    </row>
    <row r="12" spans="1:12" x14ac:dyDescent="0.45">
      <c r="A12">
        <v>2021</v>
      </c>
      <c r="B12" s="1">
        <v>5343</v>
      </c>
      <c r="C12" s="1">
        <v>5126</v>
      </c>
      <c r="D12" s="1">
        <v>6777</v>
      </c>
      <c r="F12" s="2">
        <f t="shared" si="0"/>
        <v>7005.333333333333</v>
      </c>
      <c r="I12" s="2">
        <f t="shared" si="1"/>
        <v>6140</v>
      </c>
      <c r="L12" s="2">
        <f t="shared" si="2"/>
        <v>6396.333333333333</v>
      </c>
    </row>
    <row r="13" spans="1:12" x14ac:dyDescent="0.45">
      <c r="A13">
        <v>2021</v>
      </c>
      <c r="B13" s="1">
        <v>8265</v>
      </c>
      <c r="C13" s="1">
        <v>3341</v>
      </c>
      <c r="D13" s="1">
        <v>7609</v>
      </c>
      <c r="F13" s="2">
        <f t="shared" si="0"/>
        <v>7323</v>
      </c>
      <c r="I13" s="2">
        <f t="shared" si="1"/>
        <v>4365.333333333333</v>
      </c>
      <c r="L13" s="2">
        <f t="shared" si="2"/>
        <v>7252.333333333333</v>
      </c>
    </row>
  </sheetData>
  <sortState xmlns:xlrd2="http://schemas.microsoft.com/office/spreadsheetml/2017/richdata2" ref="A2:D13">
    <sortCondition ref="A2:A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0C45-FEFC-4805-9F7A-CDE2488F5130}">
  <dimension ref="A1:L13"/>
  <sheetViews>
    <sheetView tabSelected="1" workbookViewId="0">
      <selection activeCell="I10" sqref="I10"/>
    </sheetView>
  </sheetViews>
  <sheetFormatPr defaultRowHeight="14.25" x14ac:dyDescent="0.45"/>
  <cols>
    <col min="3" max="3" width="14" bestFit="1" customWidth="1"/>
    <col min="4" max="4" width="14.06640625" bestFit="1" customWidth="1"/>
    <col min="5" max="5" width="14.19921875" bestFit="1" customWidth="1"/>
    <col min="7" max="7" width="13" bestFit="1" customWidth="1"/>
    <col min="8" max="9" width="13.53125" bestFit="1" customWidth="1"/>
    <col min="10" max="10" width="13.6640625" bestFit="1" customWidth="1"/>
    <col min="12" max="12" width="20.59765625" customWidth="1"/>
  </cols>
  <sheetData>
    <row r="1" spans="1:12" x14ac:dyDescent="0.4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G1" s="5"/>
      <c r="H1" s="5" t="s">
        <v>2</v>
      </c>
      <c r="I1" s="5" t="s">
        <v>3</v>
      </c>
      <c r="J1" s="5" t="s">
        <v>4</v>
      </c>
      <c r="L1" s="8" t="s">
        <v>14</v>
      </c>
    </row>
    <row r="2" spans="1:12" x14ac:dyDescent="0.45">
      <c r="A2">
        <v>2019</v>
      </c>
      <c r="B2" t="s">
        <v>5</v>
      </c>
      <c r="C2" s="1">
        <v>5674</v>
      </c>
      <c r="D2" s="1">
        <v>6721</v>
      </c>
      <c r="E2" s="1">
        <v>3947</v>
      </c>
      <c r="G2" s="3" t="s">
        <v>2</v>
      </c>
      <c r="H2" s="3">
        <f>VARP(Covariance!$C$2:$C$13)</f>
        <v>2956859.138888889</v>
      </c>
      <c r="I2" s="3"/>
      <c r="J2" s="3"/>
    </row>
    <row r="3" spans="1:12" x14ac:dyDescent="0.45">
      <c r="A3">
        <v>2019</v>
      </c>
      <c r="B3" t="s">
        <v>6</v>
      </c>
      <c r="C3" s="1">
        <v>3598</v>
      </c>
      <c r="D3" s="1">
        <v>9374</v>
      </c>
      <c r="E3" s="1">
        <v>7272</v>
      </c>
      <c r="G3" s="3" t="s">
        <v>3</v>
      </c>
      <c r="H3" s="3">
        <v>-626214.36111111112</v>
      </c>
      <c r="I3" s="3">
        <f>VARP(Covariance!$D$2:$D$13)</f>
        <v>5799059.055555556</v>
      </c>
      <c r="J3" s="3"/>
    </row>
    <row r="4" spans="1:12" ht="14.65" thickBot="1" x14ac:dyDescent="0.5">
      <c r="A4">
        <v>2019</v>
      </c>
      <c r="B4" t="s">
        <v>7</v>
      </c>
      <c r="C4" s="1">
        <v>8765</v>
      </c>
      <c r="D4" s="1">
        <v>9272</v>
      </c>
      <c r="E4" s="1">
        <v>5100</v>
      </c>
      <c r="G4" s="4" t="s">
        <v>4</v>
      </c>
      <c r="H4" s="4">
        <v>-251982.02777777772</v>
      </c>
      <c r="I4" s="4">
        <v>-35062.527777777788</v>
      </c>
      <c r="J4" s="4">
        <f>VARP(Covariance!$E$2:$E$13)</f>
        <v>1912375.2222222222</v>
      </c>
    </row>
    <row r="5" spans="1:12" ht="28.5" x14ac:dyDescent="0.45">
      <c r="A5">
        <v>2019</v>
      </c>
      <c r="B5" t="s">
        <v>8</v>
      </c>
      <c r="C5" s="1">
        <v>4539</v>
      </c>
      <c r="D5" s="1">
        <v>6473</v>
      </c>
      <c r="E5" s="1">
        <v>4545</v>
      </c>
      <c r="L5" s="11" t="s">
        <v>15</v>
      </c>
    </row>
    <row r="6" spans="1:12" ht="28.5" x14ac:dyDescent="0.45">
      <c r="A6">
        <v>2020</v>
      </c>
      <c r="B6" t="s">
        <v>5</v>
      </c>
      <c r="C6" s="1">
        <v>6238</v>
      </c>
      <c r="D6" s="1">
        <v>3948</v>
      </c>
      <c r="E6" s="1">
        <v>6512</v>
      </c>
      <c r="L6" s="11" t="s">
        <v>16</v>
      </c>
    </row>
    <row r="7" spans="1:12" ht="32.65" customHeight="1" x14ac:dyDescent="0.45">
      <c r="A7">
        <v>2020</v>
      </c>
      <c r="B7" t="s">
        <v>6</v>
      </c>
      <c r="C7" s="1">
        <v>8728</v>
      </c>
      <c r="D7" s="1">
        <v>7972</v>
      </c>
      <c r="E7" s="1">
        <v>5623</v>
      </c>
      <c r="L7" s="12" t="s">
        <v>17</v>
      </c>
    </row>
    <row r="8" spans="1:12" x14ac:dyDescent="0.45">
      <c r="A8">
        <v>2020</v>
      </c>
      <c r="B8" t="s">
        <v>7</v>
      </c>
      <c r="C8" s="1">
        <v>4589</v>
      </c>
      <c r="D8" s="1">
        <v>9224</v>
      </c>
      <c r="E8" s="1">
        <v>8639</v>
      </c>
      <c r="H8" t="s">
        <v>18</v>
      </c>
    </row>
    <row r="9" spans="1:12" x14ac:dyDescent="0.45">
      <c r="A9">
        <v>2020</v>
      </c>
      <c r="B9" t="s">
        <v>8</v>
      </c>
      <c r="C9" s="1">
        <v>6098</v>
      </c>
      <c r="D9" s="1">
        <v>2315</v>
      </c>
      <c r="E9" s="1">
        <v>5000</v>
      </c>
    </row>
    <row r="10" spans="1:12" x14ac:dyDescent="0.45">
      <c r="A10">
        <v>2021</v>
      </c>
      <c r="B10" t="s">
        <v>5</v>
      </c>
      <c r="C10" s="1">
        <v>7312</v>
      </c>
      <c r="D10" s="1">
        <v>8665</v>
      </c>
      <c r="E10" s="1">
        <v>5041</v>
      </c>
    </row>
    <row r="11" spans="1:12" x14ac:dyDescent="0.45">
      <c r="A11">
        <v>2021</v>
      </c>
      <c r="B11" t="s">
        <v>6</v>
      </c>
      <c r="C11" s="1">
        <v>8361</v>
      </c>
      <c r="D11" s="1">
        <v>4629</v>
      </c>
      <c r="E11" s="1">
        <v>7371</v>
      </c>
    </row>
    <row r="12" spans="1:12" x14ac:dyDescent="0.45">
      <c r="A12">
        <v>2021</v>
      </c>
      <c r="B12" t="s">
        <v>7</v>
      </c>
      <c r="C12" s="1">
        <v>5343</v>
      </c>
      <c r="D12" s="1">
        <v>5126</v>
      </c>
      <c r="E12" s="1">
        <v>6777</v>
      </c>
    </row>
    <row r="13" spans="1:12" x14ac:dyDescent="0.45">
      <c r="A13">
        <v>2021</v>
      </c>
      <c r="B13" t="s">
        <v>8</v>
      </c>
      <c r="C13" s="1">
        <v>8265</v>
      </c>
      <c r="D13" s="1">
        <v>3341</v>
      </c>
      <c r="E13" s="1">
        <v>7609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A73D-B146-449E-95D4-36075E78D0B1}">
  <dimension ref="A1:M19"/>
  <sheetViews>
    <sheetView workbookViewId="0">
      <selection activeCell="L11" sqref="L11"/>
    </sheetView>
  </sheetViews>
  <sheetFormatPr defaultRowHeight="14.25" x14ac:dyDescent="0.45"/>
  <cols>
    <col min="1" max="1" width="14" style="1" bestFit="1" customWidth="1"/>
    <col min="2" max="2" width="14.06640625" style="1" bestFit="1" customWidth="1"/>
    <col min="3" max="3" width="14.19921875" style="1" bestFit="1" customWidth="1"/>
    <col min="5" max="5" width="13" bestFit="1" customWidth="1"/>
    <col min="6" max="7" width="13.53125" bestFit="1" customWidth="1"/>
    <col min="8" max="8" width="13.6640625" bestFit="1" customWidth="1"/>
    <col min="12" max="12" width="31.46484375" customWidth="1"/>
  </cols>
  <sheetData>
    <row r="1" spans="1:13" x14ac:dyDescent="0.45">
      <c r="A1" s="1" t="s">
        <v>2</v>
      </c>
      <c r="B1" s="1" t="s">
        <v>3</v>
      </c>
      <c r="C1" s="1" t="s">
        <v>4</v>
      </c>
      <c r="E1" s="5"/>
      <c r="F1" s="5" t="s">
        <v>2</v>
      </c>
      <c r="G1" s="5" t="s">
        <v>3</v>
      </c>
      <c r="H1" s="5" t="s">
        <v>4</v>
      </c>
      <c r="L1" s="7" t="s">
        <v>12</v>
      </c>
    </row>
    <row r="2" spans="1:13" x14ac:dyDescent="0.45">
      <c r="A2" s="1">
        <v>5674</v>
      </c>
      <c r="B2" s="1">
        <v>6721</v>
      </c>
      <c r="C2" s="1">
        <v>3947</v>
      </c>
      <c r="E2" s="3" t="s">
        <v>2</v>
      </c>
      <c r="F2" s="3">
        <v>1</v>
      </c>
      <c r="G2" s="3"/>
      <c r="H2" s="3"/>
      <c r="L2" s="10"/>
    </row>
    <row r="3" spans="1:13" x14ac:dyDescent="0.45">
      <c r="A3" s="1">
        <v>3598</v>
      </c>
      <c r="B3" s="1">
        <v>9374</v>
      </c>
      <c r="C3" s="1">
        <v>7272</v>
      </c>
      <c r="E3" s="3" t="s">
        <v>3</v>
      </c>
      <c r="F3" s="3">
        <v>-0.15122686166151589</v>
      </c>
      <c r="G3" s="3">
        <v>1</v>
      </c>
      <c r="H3" s="3"/>
    </row>
    <row r="4" spans="1:13" ht="14.65" thickBot="1" x14ac:dyDescent="0.5">
      <c r="A4" s="1">
        <v>8765</v>
      </c>
      <c r="B4" s="1">
        <v>9272</v>
      </c>
      <c r="C4" s="1">
        <v>5100</v>
      </c>
      <c r="E4" s="4" t="s">
        <v>4</v>
      </c>
      <c r="F4" s="4">
        <v>-0.10596628148938629</v>
      </c>
      <c r="G4" s="4">
        <v>-1.0528776405318329E-2</v>
      </c>
      <c r="H4" s="4">
        <v>1</v>
      </c>
    </row>
    <row r="5" spans="1:13" ht="71.25" x14ac:dyDescent="0.45">
      <c r="A5" s="1">
        <v>4539</v>
      </c>
      <c r="B5" s="1">
        <v>6473</v>
      </c>
      <c r="C5" s="1">
        <v>4545</v>
      </c>
      <c r="E5" s="3"/>
      <c r="F5" s="3"/>
      <c r="G5" s="3"/>
      <c r="H5" s="3"/>
      <c r="L5" s="10" t="s">
        <v>13</v>
      </c>
      <c r="M5" s="6"/>
    </row>
    <row r="6" spans="1:13" x14ac:dyDescent="0.45">
      <c r="A6" s="1">
        <v>6238</v>
      </c>
      <c r="B6" s="1">
        <v>3948</v>
      </c>
      <c r="C6" s="1">
        <v>6512</v>
      </c>
    </row>
    <row r="7" spans="1:13" x14ac:dyDescent="0.45">
      <c r="A7" s="1">
        <v>8728</v>
      </c>
      <c r="B7" s="1">
        <v>7972</v>
      </c>
      <c r="C7" s="1">
        <v>5623</v>
      </c>
    </row>
    <row r="8" spans="1:13" x14ac:dyDescent="0.45">
      <c r="A8" s="1">
        <v>4589</v>
      </c>
      <c r="B8" s="1">
        <v>9224</v>
      </c>
      <c r="C8" s="1">
        <v>8639</v>
      </c>
    </row>
    <row r="9" spans="1:13" x14ac:dyDescent="0.45">
      <c r="A9" s="1">
        <v>6098</v>
      </c>
      <c r="B9" s="1">
        <v>2315</v>
      </c>
      <c r="C9" s="1">
        <v>5000</v>
      </c>
    </row>
    <row r="10" spans="1:13" x14ac:dyDescent="0.45">
      <c r="A10" s="1">
        <v>7312</v>
      </c>
      <c r="B10" s="1">
        <v>8665</v>
      </c>
      <c r="C10" s="1">
        <v>5041</v>
      </c>
    </row>
    <row r="11" spans="1:13" x14ac:dyDescent="0.45">
      <c r="A11" s="1">
        <v>8361</v>
      </c>
      <c r="B11" s="1">
        <v>4629</v>
      </c>
      <c r="C11" s="1">
        <v>7371</v>
      </c>
    </row>
    <row r="12" spans="1:13" x14ac:dyDescent="0.45">
      <c r="A12" s="1">
        <v>5343</v>
      </c>
      <c r="B12" s="1">
        <v>5126</v>
      </c>
      <c r="C12" s="1">
        <v>6777</v>
      </c>
    </row>
    <row r="13" spans="1:13" x14ac:dyDescent="0.45">
      <c r="A13" s="1">
        <v>8265</v>
      </c>
      <c r="B13" s="1">
        <v>3341</v>
      </c>
      <c r="C13" s="1">
        <v>7609</v>
      </c>
    </row>
    <row r="15" spans="1:13" x14ac:dyDescent="0.45">
      <c r="A15"/>
      <c r="B15"/>
      <c r="C15"/>
    </row>
    <row r="16" spans="1:13" x14ac:dyDescent="0.45">
      <c r="A16"/>
      <c r="B16"/>
      <c r="C16"/>
    </row>
    <row r="17" spans="1:3" x14ac:dyDescent="0.45">
      <c r="A17"/>
      <c r="B17"/>
      <c r="C17"/>
    </row>
    <row r="18" spans="1:3" x14ac:dyDescent="0.45">
      <c r="A18"/>
      <c r="B18"/>
      <c r="C18"/>
    </row>
    <row r="19" spans="1:3" x14ac:dyDescent="0.45">
      <c r="A19" s="9"/>
      <c r="B19" s="9"/>
      <c r="C1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sales_dataset</vt:lpstr>
      <vt:lpstr>Moving Average</vt:lpstr>
      <vt:lpstr>Covariance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garfield wilson</dc:creator>
  <cp:lastModifiedBy>clark wilson</cp:lastModifiedBy>
  <dcterms:created xsi:type="dcterms:W3CDTF">2026-08-28T02:13:43Z</dcterms:created>
  <dcterms:modified xsi:type="dcterms:W3CDTF">2026-09-02T20:54:57Z</dcterms:modified>
</cp:coreProperties>
</file>